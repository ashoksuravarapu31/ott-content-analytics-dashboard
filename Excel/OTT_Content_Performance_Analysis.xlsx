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OTT Content Performance &amp; Trend Analysis\"/>
    </mc:Choice>
  </mc:AlternateContent>
  <xr:revisionPtr revIDLastSave="0" documentId="8_{6FE83C49-4AFB-49A0-98F1-24FAFE1E7B87}" xr6:coauthVersionLast="47" xr6:coauthVersionMax="47" xr10:uidLastSave="{00000000-0000-0000-0000-000000000000}"/>
  <bookViews>
    <workbookView xWindow="-108" yWindow="-108" windowWidth="23256" windowHeight="12456" activeTab="3" xr2:uid="{643D1D16-1D51-487D-ACD2-1A073A0F64EC}"/>
  </bookViews>
  <sheets>
    <sheet name="Genre_Analysis" sheetId="4" r:id="rId1"/>
    <sheet name="Country_Insights" sheetId="6" r:id="rId2"/>
    <sheet name="Year_Trends" sheetId="7" r:id="rId3"/>
    <sheet name="Dashboard" sheetId="8" r:id="rId4"/>
    <sheet name="ott_content_dataset" sheetId="2" r:id="rId5"/>
    <sheet name="Analysis" sheetId="1" r:id="rId6"/>
  </sheets>
  <definedNames>
    <definedName name="_xlcn.WorksheetConnection_Book2ott_content1" hidden="1">ott_content[]</definedName>
    <definedName name="ExternalData_1" localSheetId="4" hidden="1">ott_content_dataset!$A$1:$G$21</definedName>
    <definedName name="Slicer_country">#N/A</definedName>
    <definedName name="Slicer_genre">#N/A</definedName>
    <definedName name="Slicer_release_year">#N/A</definedName>
  </definedNames>
  <calcPr calcId="191029"/>
  <pivotCaches>
    <pivotCache cacheId="76" r:id="rId7"/>
    <pivotCache cacheId="149" r:id="rId8"/>
    <pivotCache cacheId="152" r:id="rId9"/>
  </pivotCaches>
  <extLst>
    <ext xmlns:x14="http://schemas.microsoft.com/office/spreadsheetml/2009/9/main" uri="{876F7934-8845-4945-9796-88D515C7AA90}">
      <x14:pivotCaches>
        <pivotCache cacheId="77"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tt_content" name="ott_content" connection="WorksheetConnection_Book2!ott_conten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8" l="1"/>
  <c r="B2" i="8"/>
  <c r="B3" i="8"/>
  <c r="B4" i="8"/>
  <c r="B2" i="1"/>
  <c r="B3" i="1"/>
  <c r="B4" i="1"/>
  <c r="B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9CBA9F-EFD8-4D8C-B074-3ECA444B83AF}" keepAlive="1" name="Query - ott_content_dataset" description="Connection to the 'ott_content_dataset' query in the workbook." type="5" refreshedVersion="8" background="1" saveData="1">
    <dbPr connection="Provider=Microsoft.Mashup.OleDb.1;Data Source=$Workbook$;Location=ott_content_dataset;Extended Properties=&quot;&quot;" command="SELECT * FROM [ott_content_dataset]"/>
  </connection>
  <connection id="2" xr16:uid="{06A5C6B1-483C-4F8B-93CA-DB1A4D5A74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B78762A-115E-4F4D-9840-D18E00317478}" name="WorksheetConnection_Book2!ott_content" type="102" refreshedVersion="8" minRefreshableVersion="5">
    <extLst>
      <ext xmlns:x15="http://schemas.microsoft.com/office/spreadsheetml/2010/11/main" uri="{DE250136-89BD-433C-8126-D09CA5730AF9}">
        <x15:connection id="ott_content" autoDelete="1">
          <x15:rangePr sourceName="_xlcn.WorksheetConnection_Book2ott_content1"/>
        </x15:connection>
      </ext>
    </extLst>
  </connection>
</connections>
</file>

<file path=xl/sharedStrings.xml><?xml version="1.0" encoding="utf-8"?>
<sst xmlns="http://schemas.openxmlformats.org/spreadsheetml/2006/main" count="121" uniqueCount="52">
  <si>
    <t>title</t>
  </si>
  <si>
    <t>type</t>
  </si>
  <si>
    <t>genre</t>
  </si>
  <si>
    <t>country</t>
  </si>
  <si>
    <t>release_year</t>
  </si>
  <si>
    <t>rating</t>
  </si>
  <si>
    <t>duration_minutes</t>
  </si>
  <si>
    <t>Stranger Things</t>
  </si>
  <si>
    <t>TV Show</t>
  </si>
  <si>
    <t>Sci-Fi</t>
  </si>
  <si>
    <t>USA</t>
  </si>
  <si>
    <t>Money Heist</t>
  </si>
  <si>
    <t>Crime</t>
  </si>
  <si>
    <t>Spain</t>
  </si>
  <si>
    <t>Breaking Bad</t>
  </si>
  <si>
    <t>The Crown</t>
  </si>
  <si>
    <t>Drama</t>
  </si>
  <si>
    <t>UK</t>
  </si>
  <si>
    <t>Dark</t>
  </si>
  <si>
    <t>Germany</t>
  </si>
  <si>
    <t>Narcos</t>
  </si>
  <si>
    <t>Sacred Games</t>
  </si>
  <si>
    <t>Thriller</t>
  </si>
  <si>
    <t>India</t>
  </si>
  <si>
    <t>The Witcher</t>
  </si>
  <si>
    <t>Fantasy</t>
  </si>
  <si>
    <t>Black Mirror</t>
  </si>
  <si>
    <t>Ozark</t>
  </si>
  <si>
    <t>Lupin</t>
  </si>
  <si>
    <t>France</t>
  </si>
  <si>
    <t>Delhi Crime</t>
  </si>
  <si>
    <t>The Boys</t>
  </si>
  <si>
    <t>Action</t>
  </si>
  <si>
    <t>Mirzapur</t>
  </si>
  <si>
    <t>Peaky Blinders</t>
  </si>
  <si>
    <t>Squid Game</t>
  </si>
  <si>
    <t>South Korea</t>
  </si>
  <si>
    <t>House of Cards</t>
  </si>
  <si>
    <t>Sex Education</t>
  </si>
  <si>
    <t>Comedy</t>
  </si>
  <si>
    <t>Wednesday</t>
  </si>
  <si>
    <t>Mystery</t>
  </si>
  <si>
    <t>Vikings</t>
  </si>
  <si>
    <t>Ireland</t>
  </si>
  <si>
    <t>Total titles</t>
  </si>
  <si>
    <t>Average Rating</t>
  </si>
  <si>
    <t>Highest Rating</t>
  </si>
  <si>
    <t>Average duration (min)</t>
  </si>
  <si>
    <t>Row Labels</t>
  </si>
  <si>
    <t>Grand Total</t>
  </si>
  <si>
    <t>Total Titles</t>
  </si>
  <si>
    <t>Avg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</si>
</sst>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b/>
      <sz val="1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applyAlignment="1">
      <alignment vertical="center" wrapText="1"/>
    </xf>
    <xf numFmtId="0" fontId="1" fillId="0" borderId="0" xfId="0" applyFont="1"/>
    <xf numFmtId="0" fontId="0" fillId="0" borderId="0" xfId="0" pivotButton="1"/>
    <xf numFmtId="0" fontId="0" fillId="0" borderId="0" xfId="0" applyAlignment="1">
      <alignment horizontal="left"/>
    </xf>
    <xf numFmtId="0" fontId="2" fillId="0" borderId="0" xfId="0" applyFon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[OTT_Content_Performance_Analysis.xlsx]Genre_Analysis!PivotTable2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14260717410324E-2"/>
          <c:y val="7.8099664625255152E-2"/>
          <c:w val="0.92690048118985124"/>
          <c:h val="0.83764909594634007"/>
        </c:manualLayout>
      </c:layout>
      <c:barChart>
        <c:barDir val="col"/>
        <c:grouping val="clustered"/>
        <c:varyColors val="0"/>
        <c:ser>
          <c:idx val="0"/>
          <c:order val="0"/>
          <c:tx>
            <c:strRef>
              <c:f>Genre_Analysis!$B$3</c:f>
              <c:strCache>
                <c:ptCount val="1"/>
                <c:pt idx="0">
                  <c:v>Total</c:v>
                </c:pt>
              </c:strCache>
            </c:strRef>
          </c:tx>
          <c:spPr>
            <a:solidFill>
              <a:schemeClr val="accent1"/>
            </a:solidFill>
            <a:ln>
              <a:noFill/>
            </a:ln>
            <a:effectLst/>
          </c:spPr>
          <c:invertIfNegative val="0"/>
          <c:cat>
            <c:strRef>
              <c:f>Genre_Analysis!$A$4:$A$12</c:f>
              <c:strCache>
                <c:ptCount val="8"/>
                <c:pt idx="0">
                  <c:v>Crime</c:v>
                </c:pt>
                <c:pt idx="1">
                  <c:v>Sci-Fi</c:v>
                </c:pt>
                <c:pt idx="2">
                  <c:v>Drama</c:v>
                </c:pt>
                <c:pt idx="3">
                  <c:v>Action</c:v>
                </c:pt>
                <c:pt idx="4">
                  <c:v>Thriller</c:v>
                </c:pt>
                <c:pt idx="5">
                  <c:v>Comedy</c:v>
                </c:pt>
                <c:pt idx="6">
                  <c:v>Fantasy</c:v>
                </c:pt>
                <c:pt idx="7">
                  <c:v>Mystery</c:v>
                </c:pt>
              </c:strCache>
            </c:strRef>
          </c:cat>
          <c:val>
            <c:numRef>
              <c:f>Genre_Analysis!$B$4:$B$12</c:f>
              <c:numCache>
                <c:formatCode>General</c:formatCode>
                <c:ptCount val="8"/>
                <c:pt idx="0">
                  <c:v>7</c:v>
                </c:pt>
                <c:pt idx="1">
                  <c:v>3</c:v>
                </c:pt>
                <c:pt idx="2">
                  <c:v>3</c:v>
                </c:pt>
                <c:pt idx="3">
                  <c:v>2</c:v>
                </c:pt>
                <c:pt idx="4">
                  <c:v>2</c:v>
                </c:pt>
                <c:pt idx="5">
                  <c:v>1</c:v>
                </c:pt>
                <c:pt idx="6">
                  <c:v>1</c:v>
                </c:pt>
                <c:pt idx="7">
                  <c:v>1</c:v>
                </c:pt>
              </c:numCache>
            </c:numRef>
          </c:val>
          <c:extLst>
            <c:ext xmlns:c16="http://schemas.microsoft.com/office/drawing/2014/chart" uri="{C3380CC4-5D6E-409C-BE32-E72D297353CC}">
              <c16:uniqueId val="{00000001-F2CA-44F7-BCF7-22E1495BD470}"/>
            </c:ext>
          </c:extLst>
        </c:ser>
        <c:dLbls>
          <c:showLegendKey val="0"/>
          <c:showVal val="0"/>
          <c:showCatName val="0"/>
          <c:showSerName val="0"/>
          <c:showPercent val="0"/>
          <c:showBubbleSize val="0"/>
        </c:dLbls>
        <c:gapWidth val="219"/>
        <c:overlap val="-27"/>
        <c:axId val="1937872976"/>
        <c:axId val="2570175"/>
      </c:barChart>
      <c:catAx>
        <c:axId val="193787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0175"/>
        <c:crosses val="autoZero"/>
        <c:auto val="1"/>
        <c:lblAlgn val="ctr"/>
        <c:lblOffset val="100"/>
        <c:noMultiLvlLbl val="0"/>
      </c:catAx>
      <c:valAx>
        <c:axId val="2570175"/>
        <c:scaling>
          <c:orientation val="minMax"/>
        </c:scaling>
        <c:delete val="0"/>
        <c:axPos val="l"/>
        <c:majorGridlines>
          <c:spPr>
            <a:ln w="9525" cap="flat" cmpd="sng" algn="ctr">
              <a:solidFill>
                <a:schemeClr val="bg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87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[OTT_Content_Performance_Analysis.xlsx]Country_Insights!PivotTable4</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Country_Insights!$B$3</c:f>
              <c:strCache>
                <c:ptCount val="1"/>
                <c:pt idx="0">
                  <c:v>Total Titles</c:v>
                </c:pt>
              </c:strCache>
            </c:strRef>
          </c:tx>
          <c:spPr>
            <a:solidFill>
              <a:schemeClr val="accent1"/>
            </a:solidFill>
            <a:ln>
              <a:noFill/>
            </a:ln>
            <a:effectLst/>
          </c:spPr>
          <c:invertIfNegative val="0"/>
          <c:cat>
            <c:strRef>
              <c:f>Country_Insights!$A$4:$A$12</c:f>
              <c:strCache>
                <c:ptCount val="8"/>
                <c:pt idx="0">
                  <c:v>USA</c:v>
                </c:pt>
                <c:pt idx="1">
                  <c:v>UK</c:v>
                </c:pt>
                <c:pt idx="2">
                  <c:v>India</c:v>
                </c:pt>
                <c:pt idx="3">
                  <c:v>Germany</c:v>
                </c:pt>
                <c:pt idx="4">
                  <c:v>Spain</c:v>
                </c:pt>
                <c:pt idx="5">
                  <c:v>South Korea</c:v>
                </c:pt>
                <c:pt idx="6">
                  <c:v>France</c:v>
                </c:pt>
                <c:pt idx="7">
                  <c:v>Ireland</c:v>
                </c:pt>
              </c:strCache>
            </c:strRef>
          </c:cat>
          <c:val>
            <c:numRef>
              <c:f>Country_Insights!$B$4:$B$12</c:f>
              <c:numCache>
                <c:formatCode>General</c:formatCode>
                <c:ptCount val="8"/>
                <c:pt idx="0">
                  <c:v>8</c:v>
                </c:pt>
                <c:pt idx="1">
                  <c:v>4</c:v>
                </c:pt>
                <c:pt idx="2">
                  <c:v>3</c:v>
                </c:pt>
                <c:pt idx="3">
                  <c:v>1</c:v>
                </c:pt>
                <c:pt idx="4">
                  <c:v>1</c:v>
                </c:pt>
                <c:pt idx="5">
                  <c:v>1</c:v>
                </c:pt>
                <c:pt idx="6">
                  <c:v>1</c:v>
                </c:pt>
                <c:pt idx="7">
                  <c:v>1</c:v>
                </c:pt>
              </c:numCache>
            </c:numRef>
          </c:val>
          <c:extLst>
            <c:ext xmlns:c16="http://schemas.microsoft.com/office/drawing/2014/chart" uri="{C3380CC4-5D6E-409C-BE32-E72D297353CC}">
              <c16:uniqueId val="{00000002-5C38-4F68-8216-BFE752A1BAC3}"/>
            </c:ext>
          </c:extLst>
        </c:ser>
        <c:ser>
          <c:idx val="1"/>
          <c:order val="1"/>
          <c:tx>
            <c:strRef>
              <c:f>Country_Insights!$C$3</c:f>
              <c:strCache>
                <c:ptCount val="1"/>
                <c:pt idx="0">
                  <c:v>Avg Rating</c:v>
                </c:pt>
              </c:strCache>
            </c:strRef>
          </c:tx>
          <c:spPr>
            <a:solidFill>
              <a:schemeClr val="accent2"/>
            </a:solidFill>
            <a:ln>
              <a:noFill/>
            </a:ln>
            <a:effectLst/>
          </c:spPr>
          <c:invertIfNegative val="0"/>
          <c:cat>
            <c:strRef>
              <c:f>Country_Insights!$A$4:$A$12</c:f>
              <c:strCache>
                <c:ptCount val="8"/>
                <c:pt idx="0">
                  <c:v>USA</c:v>
                </c:pt>
                <c:pt idx="1">
                  <c:v>UK</c:v>
                </c:pt>
                <c:pt idx="2">
                  <c:v>India</c:v>
                </c:pt>
                <c:pt idx="3">
                  <c:v>Germany</c:v>
                </c:pt>
                <c:pt idx="4">
                  <c:v>Spain</c:v>
                </c:pt>
                <c:pt idx="5">
                  <c:v>South Korea</c:v>
                </c:pt>
                <c:pt idx="6">
                  <c:v>France</c:v>
                </c:pt>
                <c:pt idx="7">
                  <c:v>Ireland</c:v>
                </c:pt>
              </c:strCache>
            </c:strRef>
          </c:cat>
          <c:val>
            <c:numRef>
              <c:f>Country_Insights!$C$4:$C$12</c:f>
              <c:numCache>
                <c:formatCode>General</c:formatCode>
                <c:ptCount val="8"/>
                <c:pt idx="0">
                  <c:v>8.65</c:v>
                </c:pt>
                <c:pt idx="1">
                  <c:v>8.6</c:v>
                </c:pt>
                <c:pt idx="2">
                  <c:v>8.5</c:v>
                </c:pt>
                <c:pt idx="3">
                  <c:v>8.8000000000000007</c:v>
                </c:pt>
                <c:pt idx="4">
                  <c:v>8.1999999999999993</c:v>
                </c:pt>
                <c:pt idx="5">
                  <c:v>8</c:v>
                </c:pt>
                <c:pt idx="6">
                  <c:v>7.6</c:v>
                </c:pt>
                <c:pt idx="7">
                  <c:v>8.5</c:v>
                </c:pt>
              </c:numCache>
            </c:numRef>
          </c:val>
          <c:extLst>
            <c:ext xmlns:c16="http://schemas.microsoft.com/office/drawing/2014/chart" uri="{C3380CC4-5D6E-409C-BE32-E72D297353CC}">
              <c16:uniqueId val="{00000003-5C38-4F68-8216-BFE752A1BAC3}"/>
            </c:ext>
          </c:extLst>
        </c:ser>
        <c:dLbls>
          <c:showLegendKey val="0"/>
          <c:showVal val="0"/>
          <c:showCatName val="0"/>
          <c:showSerName val="0"/>
          <c:showPercent val="0"/>
          <c:showBubbleSize val="0"/>
        </c:dLbls>
        <c:gapWidth val="150"/>
        <c:overlap val="100"/>
        <c:axId val="11145424"/>
        <c:axId val="11148400"/>
      </c:barChart>
      <c:catAx>
        <c:axId val="1114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400"/>
        <c:crosses val="autoZero"/>
        <c:auto val="1"/>
        <c:lblAlgn val="ctr"/>
        <c:lblOffset val="100"/>
        <c:noMultiLvlLbl val="0"/>
      </c:catAx>
      <c:valAx>
        <c:axId val="1114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[OTT_Content_Performance_Analysis.xlsx]Year_Trends!PivotTable5</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Year_Trends!$B$3</c:f>
              <c:strCache>
                <c:ptCount val="1"/>
                <c:pt idx="0">
                  <c:v>Total</c:v>
                </c:pt>
              </c:strCache>
            </c:strRef>
          </c:tx>
          <c:spPr>
            <a:ln w="28575" cap="rnd">
              <a:solidFill>
                <a:schemeClr val="accent1"/>
              </a:solidFill>
              <a:round/>
            </a:ln>
            <a:effectLst/>
          </c:spPr>
          <c:marker>
            <c:symbol val="none"/>
          </c:marker>
          <c:cat>
            <c:strRef>
              <c:f>Year_Trends!$A$4:$A$14</c:f>
              <c:strCache>
                <c:ptCount val="10"/>
                <c:pt idx="0">
                  <c:v>2008</c:v>
                </c:pt>
                <c:pt idx="1">
                  <c:v>2011</c:v>
                </c:pt>
                <c:pt idx="2">
                  <c:v>2013</c:v>
                </c:pt>
                <c:pt idx="3">
                  <c:v>2015</c:v>
                </c:pt>
                <c:pt idx="4">
                  <c:v>2016</c:v>
                </c:pt>
                <c:pt idx="5">
                  <c:v>2017</c:v>
                </c:pt>
                <c:pt idx="6">
                  <c:v>2018</c:v>
                </c:pt>
                <c:pt idx="7">
                  <c:v>2019</c:v>
                </c:pt>
                <c:pt idx="8">
                  <c:v>2021</c:v>
                </c:pt>
                <c:pt idx="9">
                  <c:v>2022</c:v>
                </c:pt>
              </c:strCache>
            </c:strRef>
          </c:cat>
          <c:val>
            <c:numRef>
              <c:f>Year_Trends!$B$4:$B$14</c:f>
              <c:numCache>
                <c:formatCode>General</c:formatCode>
                <c:ptCount val="10"/>
                <c:pt idx="0">
                  <c:v>1</c:v>
                </c:pt>
                <c:pt idx="1">
                  <c:v>1</c:v>
                </c:pt>
                <c:pt idx="2">
                  <c:v>3</c:v>
                </c:pt>
                <c:pt idx="3">
                  <c:v>1</c:v>
                </c:pt>
                <c:pt idx="4">
                  <c:v>2</c:v>
                </c:pt>
                <c:pt idx="5">
                  <c:v>3</c:v>
                </c:pt>
                <c:pt idx="6">
                  <c:v>2</c:v>
                </c:pt>
                <c:pt idx="7">
                  <c:v>4</c:v>
                </c:pt>
                <c:pt idx="8">
                  <c:v>2</c:v>
                </c:pt>
                <c:pt idx="9">
                  <c:v>1</c:v>
                </c:pt>
              </c:numCache>
            </c:numRef>
          </c:val>
          <c:smooth val="0"/>
          <c:extLst>
            <c:ext xmlns:c16="http://schemas.microsoft.com/office/drawing/2014/chart" uri="{C3380CC4-5D6E-409C-BE32-E72D297353CC}">
              <c16:uniqueId val="{00000000-9CE8-4216-87A0-488A083D3CAD}"/>
            </c:ext>
          </c:extLst>
        </c:ser>
        <c:dLbls>
          <c:showLegendKey val="0"/>
          <c:showVal val="0"/>
          <c:showCatName val="0"/>
          <c:showSerName val="0"/>
          <c:showPercent val="0"/>
          <c:showBubbleSize val="0"/>
        </c:dLbls>
        <c:smooth val="0"/>
        <c:axId val="49755391"/>
        <c:axId val="49753903"/>
      </c:lineChart>
      <c:catAx>
        <c:axId val="4975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3903"/>
        <c:crosses val="autoZero"/>
        <c:auto val="1"/>
        <c:lblAlgn val="ctr"/>
        <c:lblOffset val="100"/>
        <c:noMultiLvlLbl val="0"/>
      </c:catAx>
      <c:valAx>
        <c:axId val="4975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5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xdr:colOff>
      <xdr:row>4</xdr:row>
      <xdr:rowOff>22860</xdr:rowOff>
    </xdr:from>
    <xdr:to>
      <xdr:col>5</xdr:col>
      <xdr:colOff>22860</xdr:colOff>
      <xdr:row>16</xdr:row>
      <xdr:rowOff>22860</xdr:rowOff>
    </xdr:to>
    <xdr:graphicFrame macro="">
      <xdr:nvGraphicFramePr>
        <xdr:cNvPr id="2" name="Titles by Genre">
          <a:extLst>
            <a:ext uri="{FF2B5EF4-FFF2-40B4-BE49-F238E27FC236}">
              <a16:creationId xmlns:a16="http://schemas.microsoft.com/office/drawing/2014/main" id="{7025C43D-F55F-4FC0-9B44-6E930BA67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4</xdr:row>
      <xdr:rowOff>0</xdr:rowOff>
    </xdr:from>
    <xdr:to>
      <xdr:col>12</xdr:col>
      <xdr:colOff>304800</xdr:colOff>
      <xdr:row>16</xdr:row>
      <xdr:rowOff>0</xdr:rowOff>
    </xdr:to>
    <xdr:graphicFrame macro="">
      <xdr:nvGraphicFramePr>
        <xdr:cNvPr id="3" name="Chart 1Country-wise OTT Content Performance">
          <a:extLst>
            <a:ext uri="{FF2B5EF4-FFF2-40B4-BE49-F238E27FC236}">
              <a16:creationId xmlns:a16="http://schemas.microsoft.com/office/drawing/2014/main" id="{67642C9A-39A9-4F21-A229-388759B50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5</xdr:col>
      <xdr:colOff>11723</xdr:colOff>
      <xdr:row>28</xdr:row>
      <xdr:rowOff>164123</xdr:rowOff>
    </xdr:to>
    <xdr:graphicFrame macro="">
      <xdr:nvGraphicFramePr>
        <xdr:cNvPr id="4" name="OTT Content Growth Over Years">
          <a:extLst>
            <a:ext uri="{FF2B5EF4-FFF2-40B4-BE49-F238E27FC236}">
              <a16:creationId xmlns:a16="http://schemas.microsoft.com/office/drawing/2014/main" id="{295AE315-B52D-434F-BA19-A2A7D9E2F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165881</xdr:colOff>
      <xdr:row>17</xdr:row>
      <xdr:rowOff>154745</xdr:rowOff>
    </xdr:from>
    <xdr:to>
      <xdr:col>8</xdr:col>
      <xdr:colOff>165881</xdr:colOff>
      <xdr:row>28</xdr:row>
      <xdr:rowOff>50263</xdr:rowOff>
    </xdr:to>
    <mc:AlternateContent xmlns:mc="http://schemas.openxmlformats.org/markup-compatibility/2006">
      <mc:Choice xmlns:a14="http://schemas.microsoft.com/office/drawing/2010/main" Requires="a14">
        <xdr:graphicFrame macro="">
          <xdr:nvGraphicFramePr>
            <xdr:cNvPr id="5" name="Titles by Genre">
              <a:extLst>
                <a:ext uri="{FF2B5EF4-FFF2-40B4-BE49-F238E27FC236}">
                  <a16:creationId xmlns:a16="http://schemas.microsoft.com/office/drawing/2014/main" id="{9AB25A92-5242-4E29-BB13-B9A47F2C34A5}"/>
                </a:ext>
              </a:extLst>
            </xdr:cNvPr>
            <xdr:cNvGraphicFramePr/>
          </xdr:nvGraphicFramePr>
          <xdr:xfrm>
            <a:off x="0" y="0"/>
            <a:ext cx="0" cy="0"/>
          </xdr:xfrm>
          <a:graphic>
            <a:graphicData uri="http://schemas.microsoft.com/office/drawing/2010/slicer">
              <sle:slicer xmlns:sle="http://schemas.microsoft.com/office/drawing/2010/slicer" name="Titles by Genre"/>
            </a:graphicData>
          </a:graphic>
        </xdr:graphicFrame>
      </mc:Choice>
      <mc:Fallback>
        <xdr:sp macro="" textlink="">
          <xdr:nvSpPr>
            <xdr:cNvPr id="0" name=""/>
            <xdr:cNvSpPr>
              <a:spLocks noTextEdit="1"/>
            </xdr:cNvSpPr>
          </xdr:nvSpPr>
          <xdr:spPr>
            <a:xfrm>
              <a:off x="3917266" y="4140591"/>
              <a:ext cx="1828800" cy="247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423203</xdr:colOff>
      <xdr:row>17</xdr:row>
      <xdr:rowOff>185225</xdr:rowOff>
    </xdr:from>
    <xdr:to>
      <xdr:col>11</xdr:col>
      <xdr:colOff>423203</xdr:colOff>
      <xdr:row>28</xdr:row>
      <xdr:rowOff>73123</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81B60281-EEF3-DB33-ED2A-0B0A7DC646F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003388" y="417107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94370</xdr:colOff>
      <xdr:row>17</xdr:row>
      <xdr:rowOff>184639</xdr:rowOff>
    </xdr:from>
    <xdr:to>
      <xdr:col>15</xdr:col>
      <xdr:colOff>94370</xdr:colOff>
      <xdr:row>28</xdr:row>
      <xdr:rowOff>72537</xdr:rowOff>
    </xdr:to>
    <mc:AlternateContent xmlns:mc="http://schemas.openxmlformats.org/markup-compatibility/2006">
      <mc:Choice xmlns:a14="http://schemas.microsoft.com/office/drawing/2010/main" Requires="a14">
        <xdr:graphicFrame macro="">
          <xdr:nvGraphicFramePr>
            <xdr:cNvPr id="7" name="release_year">
              <a:extLst>
                <a:ext uri="{FF2B5EF4-FFF2-40B4-BE49-F238E27FC236}">
                  <a16:creationId xmlns:a16="http://schemas.microsoft.com/office/drawing/2014/main" id="{005C66E6-C713-69A8-6D6C-8D6D7EC478EF}"/>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8112955" y="417048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sappa" refreshedDate="46050.34649664352" createdVersion="8" refreshedVersion="8" minRefreshableVersion="3" recordCount="20" xr:uid="{C4103F70-0013-49A3-9893-7F154C2C5F67}">
  <cacheSource type="worksheet">
    <worksheetSource name="ott_content"/>
  </cacheSource>
  <cacheFields count="7">
    <cacheField name="title" numFmtId="0">
      <sharedItems/>
    </cacheField>
    <cacheField name="type" numFmtId="0">
      <sharedItems count="1">
        <s v="TV Show"/>
      </sharedItems>
    </cacheField>
    <cacheField name="genre" numFmtId="0">
      <sharedItems/>
    </cacheField>
    <cacheField name="country" numFmtId="0">
      <sharedItems/>
    </cacheField>
    <cacheField name="release_year" numFmtId="0">
      <sharedItems containsSemiMixedTypes="0" containsString="0" containsNumber="1" containsInteger="1" minValue="2008" maxValue="2022" count="10">
        <n v="2016"/>
        <n v="2017"/>
        <n v="2008"/>
        <n v="2015"/>
        <n v="2018"/>
        <n v="2019"/>
        <n v="2011"/>
        <n v="2021"/>
        <n v="2013"/>
        <n v="2022"/>
      </sharedItems>
    </cacheField>
    <cacheField name="rating" numFmtId="0">
      <sharedItems containsSemiMixedTypes="0" containsString="0" containsNumber="1" minValue="7.6" maxValue="9.5"/>
    </cacheField>
    <cacheField name="duration_minutes" numFmtId="0">
      <sharedItems containsSemiMixedTypes="0" containsString="0" containsNumber="1" containsInteger="1" minValue="45" maxValue="6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 sappa" refreshedDate="46050.363181828703" backgroundQuery="1" createdVersion="8" refreshedVersion="8" minRefreshableVersion="3" recordCount="0" supportSubquery="1" supportAdvancedDrill="1" xr:uid="{78CCE23B-5720-47BB-A382-CC37C34CF578}">
  <cacheSource type="external" connectionId="2"/>
  <cacheFields count="3">
    <cacheField name="[ott_content].[genre].[genre]" caption="genre" numFmtId="0" hierarchy="2" level="1">
      <sharedItems count="8">
        <s v="Action"/>
        <s v="Comedy"/>
        <s v="Crime"/>
        <s v="Drama"/>
        <s v="Fantasy"/>
        <s v="Mystery"/>
        <s v="Sci-Fi"/>
        <s v="Thriller"/>
      </sharedItems>
    </cacheField>
    <cacheField name="[Measures].[Count of title]" caption="Count of title" numFmtId="0" hierarchy="9" level="32767"/>
    <cacheField name="[ott_content].[release_year].[release_year]" caption="release_year" numFmtId="0" hierarchy="4" level="1">
      <sharedItems containsSemiMixedTypes="0" containsNonDate="0" containsString="0"/>
    </cacheField>
  </cacheFields>
  <cacheHierarchies count="13">
    <cacheHierarchy uniqueName="[ott_content].[title]" caption="title" attribute="1" defaultMemberUniqueName="[ott_content].[title].[All]" allUniqueName="[ott_content].[title].[All]" dimensionUniqueName="[ott_content]" displayFolder="" count="2" memberValueDatatype="130" unbalanced="0"/>
    <cacheHierarchy uniqueName="[ott_content].[type]" caption="type" attribute="1" defaultMemberUniqueName="[ott_content].[type].[All]" allUniqueName="[ott_content].[type].[All]" dimensionUniqueName="[ott_content]" displayFolder="" count="2" memberValueDatatype="130" unbalanced="0"/>
    <cacheHierarchy uniqueName="[ott_content].[genre]" caption="genre" attribute="1" defaultMemberUniqueName="[ott_content].[genre].[All]" allUniqueName="[ott_content].[genre].[All]" dimensionUniqueName="[ott_content]" displayFolder="" count="2" memberValueDatatype="130" unbalanced="0">
      <fieldsUsage count="2">
        <fieldUsage x="-1"/>
        <fieldUsage x="0"/>
      </fieldsUsage>
    </cacheHierarchy>
    <cacheHierarchy uniqueName="[ott_content].[country]" caption="country" attribute="1" defaultMemberUniqueName="[ott_content].[country].[All]" allUniqueName="[ott_content].[country].[All]" dimensionUniqueName="[ott_content]" displayFolder="" count="2" memberValueDatatype="130" unbalanced="0"/>
    <cacheHierarchy uniqueName="[ott_content].[release_year]" caption="release_year" attribute="1" defaultMemberUniqueName="[ott_content].[release_year].[All]" allUniqueName="[ott_content].[release_year].[All]" dimensionUniqueName="[ott_content]" displayFolder="" count="2" memberValueDatatype="20" unbalanced="0">
      <fieldsUsage count="2">
        <fieldUsage x="-1"/>
        <fieldUsage x="2"/>
      </fieldsUsage>
    </cacheHierarchy>
    <cacheHierarchy uniqueName="[ott_content].[rating]" caption="rating" attribute="1" defaultMemberUniqueName="[ott_content].[rating].[All]" allUniqueName="[ott_content].[rating].[All]" dimensionUniqueName="[ott_content]" displayFolder="" count="2" memberValueDatatype="5" unbalanced="0"/>
    <cacheHierarchy uniqueName="[ott_content].[duration_minutes]" caption="duration_minutes" attribute="1" defaultMemberUniqueName="[ott_content].[duration_minutes].[All]" allUniqueName="[ott_content].[duration_minutes].[All]" dimensionUniqueName="[ott_content]" displayFolder="" count="2" memberValueDatatype="20" unbalanced="0"/>
    <cacheHierarchy uniqueName="[Measures].[__XL_Count ott_content]" caption="__XL_Count ott_content" measure="1" displayFolder="" measureGroup="ott_content" count="0" hidden="1"/>
    <cacheHierarchy uniqueName="[Measures].[__No measures defined]" caption="__No measures defined" measure="1" displayFolder="" count="0" hidden="1"/>
    <cacheHierarchy uniqueName="[Measures].[Count of title]" caption="Count of title" measure="1" displayFolder="" measureGroup="ott_content"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ype]" caption="Count of type" measure="1" displayFolder="" measureGroup="ott_content"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ott_content" count="0" hidden="1">
      <extLst>
        <ext xmlns:x15="http://schemas.microsoft.com/office/spreadsheetml/2010/11/main" uri="{B97F6D7D-B522-45F9-BDA1-12C45D357490}">
          <x15:cacheHierarchy aggregatedColumn="5"/>
        </ext>
      </extLst>
    </cacheHierarchy>
    <cacheHierarchy uniqueName="[Measures].[Average of rating]" caption="Average of rating" measure="1" displayFolder="" measureGroup="ott_content"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tt_content" uniqueName="[ott_content]" caption="ott_content"/>
  </dimensions>
  <measureGroups count="1">
    <measureGroup name="ott_content" caption="ott_conte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 sappa" refreshedDate="46050.363182407411" backgroundQuery="1" createdVersion="8" refreshedVersion="8" minRefreshableVersion="3" recordCount="0" supportSubquery="1" supportAdvancedDrill="1" xr:uid="{09A4BAC4-127B-4F7F-8A6F-3BA25BBE7B2A}">
  <cacheSource type="external" connectionId="2"/>
  <cacheFields count="4">
    <cacheField name="[ott_content].[country].[country]" caption="country" numFmtId="0" hierarchy="3" level="1">
      <sharedItems count="8">
        <s v="France"/>
        <s v="Germany"/>
        <s v="India"/>
        <s v="Ireland"/>
        <s v="South Korea"/>
        <s v="Spain"/>
        <s v="UK"/>
        <s v="USA"/>
      </sharedItems>
    </cacheField>
    <cacheField name="[Measures].[Count of title]" caption="Count of title" numFmtId="0" hierarchy="9" level="32767"/>
    <cacheField name="[Measures].[Average of rating]" caption="Average of rating" numFmtId="0" hierarchy="12" level="32767"/>
    <cacheField name="[ott_content].[release_year].[release_year]" caption="release_year" numFmtId="0" hierarchy="4" level="1">
      <sharedItems containsSemiMixedTypes="0" containsNonDate="0" containsString="0"/>
    </cacheField>
  </cacheFields>
  <cacheHierarchies count="13">
    <cacheHierarchy uniqueName="[ott_content].[title]" caption="title" attribute="1" defaultMemberUniqueName="[ott_content].[title].[All]" allUniqueName="[ott_content].[title].[All]" dimensionUniqueName="[ott_content]" displayFolder="" count="0" memberValueDatatype="130" unbalanced="0"/>
    <cacheHierarchy uniqueName="[ott_content].[type]" caption="type" attribute="1" defaultMemberUniqueName="[ott_content].[type].[All]" allUniqueName="[ott_content].[type].[All]" dimensionUniqueName="[ott_content]" displayFolder="" count="0" memberValueDatatype="130" unbalanced="0"/>
    <cacheHierarchy uniqueName="[ott_content].[genre]" caption="genre" attribute="1" defaultMemberUniqueName="[ott_content].[genre].[All]" allUniqueName="[ott_content].[genre].[All]" dimensionUniqueName="[ott_content]" displayFolder="" count="2" memberValueDatatype="130" unbalanced="0"/>
    <cacheHierarchy uniqueName="[ott_content].[country]" caption="country" attribute="1" defaultMemberUniqueName="[ott_content].[country].[All]" allUniqueName="[ott_content].[country].[All]" dimensionUniqueName="[ott_content]" displayFolder="" count="2" memberValueDatatype="130" unbalanced="0">
      <fieldsUsage count="2">
        <fieldUsage x="-1"/>
        <fieldUsage x="0"/>
      </fieldsUsage>
    </cacheHierarchy>
    <cacheHierarchy uniqueName="[ott_content].[release_year]" caption="release_year" attribute="1" defaultMemberUniqueName="[ott_content].[release_year].[All]" allUniqueName="[ott_content].[release_year].[All]" dimensionUniqueName="[ott_content]" displayFolder="" count="2" memberValueDatatype="20" unbalanced="0">
      <fieldsUsage count="2">
        <fieldUsage x="-1"/>
        <fieldUsage x="3"/>
      </fieldsUsage>
    </cacheHierarchy>
    <cacheHierarchy uniqueName="[ott_content].[rating]" caption="rating" attribute="1" defaultMemberUniqueName="[ott_content].[rating].[All]" allUniqueName="[ott_content].[rating].[All]" dimensionUniqueName="[ott_content]" displayFolder="" count="0" memberValueDatatype="5" unbalanced="0"/>
    <cacheHierarchy uniqueName="[ott_content].[duration_minutes]" caption="duration_minutes" attribute="1" defaultMemberUniqueName="[ott_content].[duration_minutes].[All]" allUniqueName="[ott_content].[duration_minutes].[All]" dimensionUniqueName="[ott_content]" displayFolder="" count="0" memberValueDatatype="20" unbalanced="0"/>
    <cacheHierarchy uniqueName="[Measures].[__XL_Count ott_content]" caption="__XL_Count ott_content" measure="1" displayFolder="" measureGroup="ott_content" count="0" hidden="1"/>
    <cacheHierarchy uniqueName="[Measures].[__No measures defined]" caption="__No measures defined" measure="1" displayFolder="" count="0" hidden="1"/>
    <cacheHierarchy uniqueName="[Measures].[Count of title]" caption="Count of title" measure="1" displayFolder="" measureGroup="ott_content"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ype]" caption="Count of type" measure="1" displayFolder="" measureGroup="ott_content"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ott_content" count="0" hidden="1">
      <extLst>
        <ext xmlns:x15="http://schemas.microsoft.com/office/spreadsheetml/2010/11/main" uri="{B97F6D7D-B522-45F9-BDA1-12C45D357490}">
          <x15:cacheHierarchy aggregatedColumn="5"/>
        </ext>
      </extLst>
    </cacheHierarchy>
    <cacheHierarchy uniqueName="[Measures].[Average of rating]" caption="Average of rating" measure="1" displayFolder="" measureGroup="ott_content"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tt_content" uniqueName="[ott_content]" caption="ott_content"/>
  </dimensions>
  <measureGroups count="1">
    <measureGroup name="ott_content" caption="ott_conten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een sappa" refreshedDate="46050.359720949076" backgroundQuery="1" createdVersion="3" refreshedVersion="8" minRefreshableVersion="3" recordCount="0" supportSubquery="1" supportAdvancedDrill="1" xr:uid="{5E9CD356-5D1A-4600-94AA-6C07AAD74342}">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ott_content].[title]" caption="title" attribute="1" defaultMemberUniqueName="[ott_content].[title].[All]" allUniqueName="[ott_content].[title].[All]" dimensionUniqueName="[ott_content]" displayFolder="" count="0" memberValueDatatype="130" unbalanced="0"/>
    <cacheHierarchy uniqueName="[ott_content].[type]" caption="type" attribute="1" defaultMemberUniqueName="[ott_content].[type].[All]" allUniqueName="[ott_content].[type].[All]" dimensionUniqueName="[ott_content]" displayFolder="" count="0" memberValueDatatype="130" unbalanced="0"/>
    <cacheHierarchy uniqueName="[ott_content].[genre]" caption="genre" attribute="1" defaultMemberUniqueName="[ott_content].[genre].[All]" allUniqueName="[ott_content].[genre].[All]" dimensionUniqueName="[ott_content]" displayFolder="" count="2" memberValueDatatype="130" unbalanced="0"/>
    <cacheHierarchy uniqueName="[ott_content].[country]" caption="country" attribute="1" defaultMemberUniqueName="[ott_content].[country].[All]" allUniqueName="[ott_content].[country].[All]" dimensionUniqueName="[ott_content]" displayFolder="" count="2" memberValueDatatype="130" unbalanced="0"/>
    <cacheHierarchy uniqueName="[ott_content].[release_year]" caption="release_year" attribute="1" defaultMemberUniqueName="[ott_content].[release_year].[All]" allUniqueName="[ott_content].[release_year].[All]" dimensionUniqueName="[ott_content]" displayFolder="" count="2" memberValueDatatype="20" unbalanced="0"/>
    <cacheHierarchy uniqueName="[ott_content].[rating]" caption="rating" attribute="1" defaultMemberUniqueName="[ott_content].[rating].[All]" allUniqueName="[ott_content].[rating].[All]" dimensionUniqueName="[ott_content]" displayFolder="" count="0" memberValueDatatype="5" unbalanced="0"/>
    <cacheHierarchy uniqueName="[ott_content].[duration_minutes]" caption="duration_minutes" attribute="1" defaultMemberUniqueName="[ott_content].[duration_minutes].[All]" allUniqueName="[ott_content].[duration_minutes].[All]" dimensionUniqueName="[ott_content]" displayFolder="" count="0" memberValueDatatype="20" unbalanced="0"/>
    <cacheHierarchy uniqueName="[Measures].[__XL_Count ott_content]" caption="__XL_Count ott_content" measure="1" displayFolder="" measureGroup="ott_content" count="0" hidden="1"/>
    <cacheHierarchy uniqueName="[Measures].[__No measures defined]" caption="__No measures defined" measure="1" displayFolder="" count="0" hidden="1"/>
    <cacheHierarchy uniqueName="[Measures].[Count of title]" caption="Count of title" measure="1" displayFolder="" measureGroup="ott_content" count="0" hidden="1">
      <extLst>
        <ext xmlns:x15="http://schemas.microsoft.com/office/spreadsheetml/2010/11/main" uri="{B97F6D7D-B522-45F9-BDA1-12C45D357490}">
          <x15:cacheHierarchy aggregatedColumn="0"/>
        </ext>
      </extLst>
    </cacheHierarchy>
    <cacheHierarchy uniqueName="[Measures].[Count of type]" caption="Count of type" measure="1" displayFolder="" measureGroup="ott_content"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ott_content" count="0" hidden="1">
      <extLst>
        <ext xmlns:x15="http://schemas.microsoft.com/office/spreadsheetml/2010/11/main" uri="{B97F6D7D-B522-45F9-BDA1-12C45D357490}">
          <x15:cacheHierarchy aggregatedColumn="5"/>
        </ext>
      </extLst>
    </cacheHierarchy>
    <cacheHierarchy uniqueName="[Measures].[Average of rating]" caption="Average of rating" measure="1" displayFolder="" measureGroup="ott_content"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8943793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ranger Things"/>
    <x v="0"/>
    <s v="Sci-Fi"/>
    <s v="USA"/>
    <x v="0"/>
    <n v="8.6999999999999993"/>
    <n v="50"/>
  </r>
  <r>
    <s v="Money Heist"/>
    <x v="0"/>
    <s v="Crime"/>
    <s v="Spain"/>
    <x v="1"/>
    <n v="8.1999999999999993"/>
    <n v="45"/>
  </r>
  <r>
    <s v="Breaking Bad"/>
    <x v="0"/>
    <s v="Crime"/>
    <s v="USA"/>
    <x v="2"/>
    <n v="9.5"/>
    <n v="47"/>
  </r>
  <r>
    <s v="The Crown"/>
    <x v="0"/>
    <s v="Drama"/>
    <s v="UK"/>
    <x v="0"/>
    <n v="8.6"/>
    <n v="55"/>
  </r>
  <r>
    <s v="Dark"/>
    <x v="0"/>
    <s v="Sci-Fi"/>
    <s v="Germany"/>
    <x v="1"/>
    <n v="8.8000000000000007"/>
    <n v="53"/>
  </r>
  <r>
    <s v="Narcos"/>
    <x v="0"/>
    <s v="Crime"/>
    <s v="USA"/>
    <x v="3"/>
    <n v="8.8000000000000007"/>
    <n v="49"/>
  </r>
  <r>
    <s v="Sacred Games"/>
    <x v="0"/>
    <s v="Thriller"/>
    <s v="India"/>
    <x v="4"/>
    <n v="8.6"/>
    <n v="52"/>
  </r>
  <r>
    <s v="The Witcher"/>
    <x v="0"/>
    <s v="Fantasy"/>
    <s v="USA"/>
    <x v="5"/>
    <n v="8.1999999999999993"/>
    <n v="58"/>
  </r>
  <r>
    <s v="Black Mirror"/>
    <x v="0"/>
    <s v="Sci-Fi"/>
    <s v="UK"/>
    <x v="6"/>
    <n v="8.6999999999999993"/>
    <n v="60"/>
  </r>
  <r>
    <s v="Ozark"/>
    <x v="0"/>
    <s v="Crime"/>
    <s v="USA"/>
    <x v="1"/>
    <n v="8.5"/>
    <n v="54"/>
  </r>
  <r>
    <s v="Lupin"/>
    <x v="0"/>
    <s v="Crime"/>
    <s v="France"/>
    <x v="7"/>
    <n v="7.6"/>
    <n v="48"/>
  </r>
  <r>
    <s v="Delhi Crime"/>
    <x v="0"/>
    <s v="Crime"/>
    <s v="India"/>
    <x v="5"/>
    <n v="8.5"/>
    <n v="50"/>
  </r>
  <r>
    <s v="The Boys"/>
    <x v="0"/>
    <s v="Action"/>
    <s v="USA"/>
    <x v="5"/>
    <n v="8.6999999999999993"/>
    <n v="60"/>
  </r>
  <r>
    <s v="Mirzapur"/>
    <x v="0"/>
    <s v="Crime"/>
    <s v="India"/>
    <x v="4"/>
    <n v="8.4"/>
    <n v="55"/>
  </r>
  <r>
    <s v="Peaky Blinders"/>
    <x v="0"/>
    <s v="Drama"/>
    <s v="UK"/>
    <x v="8"/>
    <n v="8.8000000000000007"/>
    <n v="57"/>
  </r>
  <r>
    <s v="Squid Game"/>
    <x v="0"/>
    <s v="Thriller"/>
    <s v="South Korea"/>
    <x v="7"/>
    <n v="8"/>
    <n v="50"/>
  </r>
  <r>
    <s v="House of Cards"/>
    <x v="0"/>
    <s v="Drama"/>
    <s v="USA"/>
    <x v="8"/>
    <n v="8.6999999999999993"/>
    <n v="55"/>
  </r>
  <r>
    <s v="Sex Education"/>
    <x v="0"/>
    <s v="Comedy"/>
    <s v="UK"/>
    <x v="5"/>
    <n v="8.3000000000000007"/>
    <n v="45"/>
  </r>
  <r>
    <s v="Wednesday"/>
    <x v="0"/>
    <s v="Mystery"/>
    <s v="USA"/>
    <x v="9"/>
    <n v="8.1"/>
    <n v="50"/>
  </r>
  <r>
    <s v="Vikings"/>
    <x v="0"/>
    <s v="Action"/>
    <s v="Ireland"/>
    <x v="8"/>
    <n v="8.5"/>
    <n v="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A58D2A-834A-4A8F-9FB3-F8EB3F2589B5}" name="PivotTable2" cacheId="1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12" firstHeaderRow="1" firstDataRow="1" firstDataCol="1"/>
  <pivotFields count="3">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2"/>
    </i>
    <i>
      <x v="6"/>
    </i>
    <i>
      <x v="3"/>
    </i>
    <i>
      <x/>
    </i>
    <i>
      <x v="7"/>
    </i>
    <i>
      <x v="1"/>
    </i>
    <i>
      <x v="4"/>
    </i>
    <i>
      <x v="5"/>
    </i>
    <i t="grand">
      <x/>
    </i>
  </rowItems>
  <colItems count="1">
    <i/>
  </colItems>
  <dataFields count="1">
    <dataField name="Total Titles"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Tit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ott_content">
        <x15:activeTabTopLevelEntity name="[ott_cont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A1D2B4-74CA-4D90-B348-DADC14A2FDD9}" name="PivotTable4" cacheId="1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3:C12" firstHeaderRow="0" firstDataRow="1" firstDataCol="1"/>
  <pivotFields count="4">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7"/>
    </i>
    <i>
      <x v="6"/>
    </i>
    <i>
      <x v="2"/>
    </i>
    <i>
      <x v="1"/>
    </i>
    <i>
      <x v="5"/>
    </i>
    <i>
      <x v="4"/>
    </i>
    <i>
      <x/>
    </i>
    <i>
      <x v="3"/>
    </i>
    <i t="grand">
      <x/>
    </i>
  </rowItems>
  <colFields count="1">
    <field x="-2"/>
  </colFields>
  <colItems count="2">
    <i>
      <x/>
    </i>
    <i i="1">
      <x v="1"/>
    </i>
  </colItems>
  <dataFields count="2">
    <dataField name="Total Titles" fld="1" subtotal="count" baseField="0" baseItem="0"/>
    <dataField name="Avg Rating" fld="2" subtotal="average" baseField="0" baseItem="0"/>
  </dataField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Hierarchies count="13">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Titles"/>
    <pivotHierarchy dragToData="1"/>
    <pivotHierarchy dragToData="1"/>
    <pivotHierarchy dragToData="1" caption="Avg Rating"/>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ott_content">
        <x15:activeTabTopLevelEntity name="[ott_cont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126C36-5337-44FE-BBFE-C4747136D9EF}" name="PivotTable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7">
    <pivotField showAll="0"/>
    <pivotField dataField="1" showAll="0"/>
    <pivotField showAll="0"/>
    <pivotField showAll="0"/>
    <pivotField axis="axisRow" showAll="0" sortType="ascending">
      <items count="11">
        <item x="2"/>
        <item x="6"/>
        <item x="8"/>
        <item x="3"/>
        <item x="0"/>
        <item x="1"/>
        <item x="4"/>
        <item x="5"/>
        <item x="7"/>
        <item x="9"/>
        <item t="default"/>
      </items>
    </pivotField>
    <pivotField showAll="0"/>
    <pivotField showAll="0"/>
  </pivotFields>
  <rowFields count="1">
    <field x="4"/>
  </rowFields>
  <rowItems count="11">
    <i>
      <x/>
    </i>
    <i>
      <x v="1"/>
    </i>
    <i>
      <x v="2"/>
    </i>
    <i>
      <x v="3"/>
    </i>
    <i>
      <x v="4"/>
    </i>
    <i>
      <x v="5"/>
    </i>
    <i>
      <x v="6"/>
    </i>
    <i>
      <x v="7"/>
    </i>
    <i>
      <x v="8"/>
    </i>
    <i>
      <x v="9"/>
    </i>
    <i t="grand">
      <x/>
    </i>
  </rowItems>
  <colItems count="1">
    <i/>
  </colItems>
  <dataFields count="1">
    <dataField name="Total Titles" fld="1" subtotal="count" baseField="4" baseItem="0"/>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06653C-E6D7-485F-AE55-13DF3858EC89}" autoFormatId="16" applyNumberFormats="0" applyBorderFormats="0" applyFontFormats="0" applyPatternFormats="0" applyAlignmentFormats="0" applyWidthHeightFormats="0">
  <queryTableRefresh nextId="8">
    <queryTableFields count="7">
      <queryTableField id="1" name="title" tableColumnId="1"/>
      <queryTableField id="2" name="type" tableColumnId="2"/>
      <queryTableField id="3" name="genre" tableColumnId="3"/>
      <queryTableField id="4" name="country" tableColumnId="4"/>
      <queryTableField id="5" name="release_year" tableColumnId="5"/>
      <queryTableField id="6" name="rating" tableColumnId="6"/>
      <queryTableField id="7" name="duration_minute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E94A043C-4EA2-4483-BAEE-D8979F4D5FE7}" sourceName="[ott_content].[genre]">
  <pivotTables>
    <pivotTable tabId="4" name="PivotTable2"/>
    <pivotTable tabId="6" name="PivotTable4"/>
  </pivotTables>
  <data>
    <olap pivotCacheId="894379392">
      <levels count="2">
        <level uniqueName="[ott_content].[genre].[(All)]" sourceCaption="(All)" count="0"/>
        <level uniqueName="[ott_content].[genre].[genre]" sourceCaption="genre" count="8">
          <ranges>
            <range startItem="0">
              <i n="[ott_content].[genre].&amp;[Action]" c="Action"/>
              <i n="[ott_content].[genre].&amp;[Comedy]" c="Comedy"/>
              <i n="[ott_content].[genre].&amp;[Crime]" c="Crime"/>
              <i n="[ott_content].[genre].&amp;[Drama]" c="Drama"/>
              <i n="[ott_content].[genre].&amp;[Fantasy]" c="Fantasy"/>
              <i n="[ott_content].[genre].&amp;[Mystery]" c="Mystery"/>
              <i n="[ott_content].[genre].&amp;[Sci-Fi]" c="Sci-Fi"/>
              <i n="[ott_content].[genre].&amp;[Thriller]" c="Thriller"/>
            </range>
          </ranges>
        </level>
      </levels>
      <selections count="1">
        <selection n="[ott_content].[genr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E84E6EE-38AB-4671-B7A6-94F9F6DDE0F0}" sourceName="[ott_content].[country]">
  <pivotTables>
    <pivotTable tabId="4" name="PivotTable2"/>
    <pivotTable tabId="6" name="PivotTable4"/>
  </pivotTables>
  <data>
    <olap pivotCacheId="894379392">
      <levels count="2">
        <level uniqueName="[ott_content].[country].[(All)]" sourceCaption="(All)" count="0"/>
        <level uniqueName="[ott_content].[country].[country]" sourceCaption="country" count="8">
          <ranges>
            <range startItem="0">
              <i n="[ott_content].[country].&amp;[France]" c="France"/>
              <i n="[ott_content].[country].&amp;[Germany]" c="Germany"/>
              <i n="[ott_content].[country].&amp;[India]" c="India"/>
              <i n="[ott_content].[country].&amp;[Ireland]" c="Ireland"/>
              <i n="[ott_content].[country].&amp;[South Korea]" c="South Korea"/>
              <i n="[ott_content].[country].&amp;[Spain]" c="Spain"/>
              <i n="[ott_content].[country].&amp;[UK]" c="UK"/>
              <i n="[ott_content].[country].&amp;[USA]" c="USA"/>
            </range>
          </ranges>
        </level>
      </levels>
      <selections count="1">
        <selection n="[ott_content].[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78BBE5FC-B568-4F96-8E78-123BE070482E}" sourceName="[ott_content].[release_year]">
  <pivotTables>
    <pivotTable tabId="4" name="PivotTable2"/>
    <pivotTable tabId="6" name="PivotTable4"/>
  </pivotTables>
  <data>
    <olap pivotCacheId="894379392">
      <levels count="2">
        <level uniqueName="[ott_content].[release_year].[(All)]" sourceCaption="(All)" count="0"/>
        <level uniqueName="[ott_content].[release_year].[release_year]" sourceCaption="release_year" count="10">
          <ranges>
            <range startItem="0">
              <i n="[ott_content].[release_year].&amp;[2008]" c="2008"/>
              <i n="[ott_content].[release_year].&amp;[2011]" c="2011"/>
              <i n="[ott_content].[release_year].&amp;[2013]" c="2013"/>
              <i n="[ott_content].[release_year].&amp;[2015]" c="2015"/>
              <i n="[ott_content].[release_year].&amp;[2016]" c="2016"/>
              <i n="[ott_content].[release_year].&amp;[2017]" c="2017"/>
              <i n="[ott_content].[release_year].&amp;[2018]" c="2018"/>
              <i n="[ott_content].[release_year].&amp;[2019]" c="2019"/>
              <i n="[ott_content].[release_year].&amp;[2021]" c="2021"/>
              <i n="[ott_content].[release_year].&amp;[2022]" c="2022"/>
            </range>
          </ranges>
        </level>
      </levels>
      <selections count="1">
        <selection n="[ott_content].[release_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tles by Genre" xr10:uid="{71346317-9FF5-4324-9466-49D21EA9914E}" cache="Slicer_genre" caption="genre" level="1" rowHeight="234950"/>
  <slicer name="country" xr10:uid="{24BEBB1A-1CF0-493B-9556-D14A96BDFE15}" cache="Slicer_country" caption="country" level="1" rowHeight="234950"/>
  <slicer name="release_year" xr10:uid="{CEAC203D-3D54-47FB-961D-3838B7D1E97C}" cache="Slicer_release_year" caption="release_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A26482-B38B-4BC5-9061-7A70F938D49C}" name="ott_content" displayName="ott_content" ref="A1:G21" tableType="queryTable" totalsRowShown="0">
  <autoFilter ref="A1:G21" xr:uid="{3FA26482-B38B-4BC5-9061-7A70F938D49C}"/>
  <tableColumns count="7">
    <tableColumn id="1" xr3:uid="{BCF90497-AFA1-4415-8D78-CE75C361EE45}" uniqueName="1" name="title" queryTableFieldId="1" dataDxfId="3"/>
    <tableColumn id="2" xr3:uid="{FF4635E7-9D10-408A-96AB-7C669B1E9F5D}" uniqueName="2" name="type" queryTableFieldId="2" dataDxfId="2"/>
    <tableColumn id="3" xr3:uid="{FD9094AA-EFDD-44BE-8507-CD6E82CBEF5E}" uniqueName="3" name="genre" queryTableFieldId="3" dataDxfId="1"/>
    <tableColumn id="4" xr3:uid="{A61D952C-1DA1-49EE-B149-C1FA3ADDB10C}" uniqueName="4" name="country" queryTableFieldId="4" dataDxfId="0"/>
    <tableColumn id="5" xr3:uid="{5930FC97-4DC6-4D10-BA1A-39E2121A68D3}" uniqueName="5" name="release_year" queryTableFieldId="5"/>
    <tableColumn id="6" xr3:uid="{35B6AD68-51BF-4A16-A6E4-67E603780807}" uniqueName="6" name="rating" queryTableFieldId="6"/>
    <tableColumn id="7" xr3:uid="{78AD1D39-D071-4EDA-9B3B-8BE18649DC29}" uniqueName="7" name="duration_minutes"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5BEDF-8B31-438F-AF60-BEB81171CA7C}">
  <dimension ref="A3:B12"/>
  <sheetViews>
    <sheetView workbookViewId="0">
      <selection activeCell="M7" sqref="M7"/>
    </sheetView>
  </sheetViews>
  <sheetFormatPr defaultRowHeight="14.4" x14ac:dyDescent="0.3"/>
  <cols>
    <col min="1" max="1" width="12.5546875" bestFit="1" customWidth="1"/>
    <col min="2" max="2" width="10" bestFit="1" customWidth="1"/>
  </cols>
  <sheetData>
    <row r="3" spans="1:2" x14ac:dyDescent="0.3">
      <c r="A3" s="4" t="s">
        <v>48</v>
      </c>
      <c r="B3" t="s">
        <v>50</v>
      </c>
    </row>
    <row r="4" spans="1:2" x14ac:dyDescent="0.3">
      <c r="A4" s="5" t="s">
        <v>12</v>
      </c>
      <c r="B4" s="1">
        <v>7</v>
      </c>
    </row>
    <row r="5" spans="1:2" x14ac:dyDescent="0.3">
      <c r="A5" s="5" t="s">
        <v>9</v>
      </c>
      <c r="B5" s="1">
        <v>3</v>
      </c>
    </row>
    <row r="6" spans="1:2" x14ac:dyDescent="0.3">
      <c r="A6" s="5" t="s">
        <v>16</v>
      </c>
      <c r="B6" s="1">
        <v>3</v>
      </c>
    </row>
    <row r="7" spans="1:2" x14ac:dyDescent="0.3">
      <c r="A7" s="5" t="s">
        <v>32</v>
      </c>
      <c r="B7" s="1">
        <v>2</v>
      </c>
    </row>
    <row r="8" spans="1:2" x14ac:dyDescent="0.3">
      <c r="A8" s="5" t="s">
        <v>22</v>
      </c>
      <c r="B8" s="1">
        <v>2</v>
      </c>
    </row>
    <row r="9" spans="1:2" x14ac:dyDescent="0.3">
      <c r="A9" s="5" t="s">
        <v>39</v>
      </c>
      <c r="B9" s="1">
        <v>1</v>
      </c>
    </row>
    <row r="10" spans="1:2" x14ac:dyDescent="0.3">
      <c r="A10" s="5" t="s">
        <v>25</v>
      </c>
      <c r="B10" s="1">
        <v>1</v>
      </c>
    </row>
    <row r="11" spans="1:2" x14ac:dyDescent="0.3">
      <c r="A11" s="5" t="s">
        <v>41</v>
      </c>
      <c r="B11" s="1">
        <v>1</v>
      </c>
    </row>
    <row r="12" spans="1:2" x14ac:dyDescent="0.3">
      <c r="A12" s="5" t="s">
        <v>49</v>
      </c>
      <c r="B12" s="1">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D7690-8BA0-4C56-A8C9-703D5685DD49}">
  <dimension ref="A3:C12"/>
  <sheetViews>
    <sheetView workbookViewId="0">
      <selection activeCell="I26" sqref="I26"/>
    </sheetView>
  </sheetViews>
  <sheetFormatPr defaultRowHeight="14.4" x14ac:dyDescent="0.3"/>
  <cols>
    <col min="1" max="1" width="12.5546875" bestFit="1" customWidth="1"/>
    <col min="2" max="3" width="10" bestFit="1" customWidth="1"/>
  </cols>
  <sheetData>
    <row r="3" spans="1:3" x14ac:dyDescent="0.3">
      <c r="A3" s="4" t="s">
        <v>48</v>
      </c>
      <c r="B3" t="s">
        <v>50</v>
      </c>
      <c r="C3" t="s">
        <v>51</v>
      </c>
    </row>
    <row r="4" spans="1:3" x14ac:dyDescent="0.3">
      <c r="A4" s="5" t="s">
        <v>10</v>
      </c>
      <c r="B4" s="1">
        <v>8</v>
      </c>
      <c r="C4" s="1">
        <v>8.65</v>
      </c>
    </row>
    <row r="5" spans="1:3" x14ac:dyDescent="0.3">
      <c r="A5" s="5" t="s">
        <v>17</v>
      </c>
      <c r="B5" s="1">
        <v>4</v>
      </c>
      <c r="C5" s="1">
        <v>8.6</v>
      </c>
    </row>
    <row r="6" spans="1:3" x14ac:dyDescent="0.3">
      <c r="A6" s="5" t="s">
        <v>23</v>
      </c>
      <c r="B6" s="1">
        <v>3</v>
      </c>
      <c r="C6" s="1">
        <v>8.5</v>
      </c>
    </row>
    <row r="7" spans="1:3" x14ac:dyDescent="0.3">
      <c r="A7" s="5" t="s">
        <v>19</v>
      </c>
      <c r="B7" s="1">
        <v>1</v>
      </c>
      <c r="C7" s="1">
        <v>8.8000000000000007</v>
      </c>
    </row>
    <row r="8" spans="1:3" x14ac:dyDescent="0.3">
      <c r="A8" s="5" t="s">
        <v>13</v>
      </c>
      <c r="B8" s="1">
        <v>1</v>
      </c>
      <c r="C8" s="1">
        <v>8.1999999999999993</v>
      </c>
    </row>
    <row r="9" spans="1:3" x14ac:dyDescent="0.3">
      <c r="A9" s="5" t="s">
        <v>36</v>
      </c>
      <c r="B9" s="1">
        <v>1</v>
      </c>
      <c r="C9" s="1">
        <v>8</v>
      </c>
    </row>
    <row r="10" spans="1:3" x14ac:dyDescent="0.3">
      <c r="A10" s="5" t="s">
        <v>29</v>
      </c>
      <c r="B10" s="1">
        <v>1</v>
      </c>
      <c r="C10" s="1">
        <v>7.6</v>
      </c>
    </row>
    <row r="11" spans="1:3" x14ac:dyDescent="0.3">
      <c r="A11" s="5" t="s">
        <v>43</v>
      </c>
      <c r="B11" s="1">
        <v>1</v>
      </c>
      <c r="C11" s="1">
        <v>8.5</v>
      </c>
    </row>
    <row r="12" spans="1:3" x14ac:dyDescent="0.3">
      <c r="A12" s="5" t="s">
        <v>49</v>
      </c>
      <c r="B12" s="1">
        <v>20</v>
      </c>
      <c r="C12" s="1">
        <v>8.51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B93BB-1A70-4DB0-A810-490F0B91E3A4}">
  <dimension ref="A3:B14"/>
  <sheetViews>
    <sheetView workbookViewId="0">
      <selection activeCell="B6" sqref="B6"/>
    </sheetView>
  </sheetViews>
  <sheetFormatPr defaultRowHeight="14.4" x14ac:dyDescent="0.3"/>
  <cols>
    <col min="1" max="1" width="12.5546875" bestFit="1" customWidth="1"/>
    <col min="2" max="2" width="10" bestFit="1" customWidth="1"/>
  </cols>
  <sheetData>
    <row r="3" spans="1:2" x14ac:dyDescent="0.3">
      <c r="A3" s="4" t="s">
        <v>48</v>
      </c>
      <c r="B3" t="s">
        <v>50</v>
      </c>
    </row>
    <row r="4" spans="1:2" x14ac:dyDescent="0.3">
      <c r="A4" s="5">
        <v>2008</v>
      </c>
      <c r="B4" s="1">
        <v>1</v>
      </c>
    </row>
    <row r="5" spans="1:2" x14ac:dyDescent="0.3">
      <c r="A5" s="5">
        <v>2011</v>
      </c>
      <c r="B5" s="1">
        <v>1</v>
      </c>
    </row>
    <row r="6" spans="1:2" x14ac:dyDescent="0.3">
      <c r="A6" s="5">
        <v>2013</v>
      </c>
      <c r="B6" s="1">
        <v>3</v>
      </c>
    </row>
    <row r="7" spans="1:2" x14ac:dyDescent="0.3">
      <c r="A7" s="5">
        <v>2015</v>
      </c>
      <c r="B7" s="1">
        <v>1</v>
      </c>
    </row>
    <row r="8" spans="1:2" x14ac:dyDescent="0.3">
      <c r="A8" s="5">
        <v>2016</v>
      </c>
      <c r="B8" s="1">
        <v>2</v>
      </c>
    </row>
    <row r="9" spans="1:2" x14ac:dyDescent="0.3">
      <c r="A9" s="5">
        <v>2017</v>
      </c>
      <c r="B9" s="1">
        <v>3</v>
      </c>
    </row>
    <row r="10" spans="1:2" x14ac:dyDescent="0.3">
      <c r="A10" s="5">
        <v>2018</v>
      </c>
      <c r="B10" s="1">
        <v>2</v>
      </c>
    </row>
    <row r="11" spans="1:2" x14ac:dyDescent="0.3">
      <c r="A11" s="5">
        <v>2019</v>
      </c>
      <c r="B11" s="1">
        <v>4</v>
      </c>
    </row>
    <row r="12" spans="1:2" x14ac:dyDescent="0.3">
      <c r="A12" s="5">
        <v>2021</v>
      </c>
      <c r="B12" s="1">
        <v>2</v>
      </c>
    </row>
    <row r="13" spans="1:2" x14ac:dyDescent="0.3">
      <c r="A13" s="5">
        <v>2022</v>
      </c>
      <c r="B13" s="1">
        <v>1</v>
      </c>
    </row>
    <row r="14" spans="1:2" x14ac:dyDescent="0.3">
      <c r="A14" s="5" t="s">
        <v>49</v>
      </c>
      <c r="B14" s="1">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1A826-6BF6-40A2-B202-D33AF73DDA19}">
  <dimension ref="A1:B5"/>
  <sheetViews>
    <sheetView tabSelected="1" zoomScale="65" workbookViewId="0"/>
  </sheetViews>
  <sheetFormatPr defaultRowHeight="18" x14ac:dyDescent="0.35"/>
  <cols>
    <col min="1" max="1" width="19.21875" customWidth="1"/>
    <col min="2" max="2" width="8.88671875" style="6"/>
  </cols>
  <sheetData>
    <row r="1" spans="1:2" x14ac:dyDescent="0.35">
      <c r="A1" t="s">
        <v>44</v>
      </c>
      <c r="B1" s="6">
        <f>COUNTA(ott_content[title])</f>
        <v>20</v>
      </c>
    </row>
    <row r="2" spans="1:2" x14ac:dyDescent="0.35">
      <c r="A2" t="s">
        <v>45</v>
      </c>
      <c r="B2" s="6">
        <f>ROUND(AVERAGE(ott_content[rating]),2)</f>
        <v>8.51</v>
      </c>
    </row>
    <row r="3" spans="1:2" x14ac:dyDescent="0.35">
      <c r="A3" t="s">
        <v>46</v>
      </c>
      <c r="B3" s="6">
        <f>MAX(ott_content[rating])</f>
        <v>9.5</v>
      </c>
    </row>
    <row r="4" spans="1:2" ht="18.600000000000001" customHeight="1" x14ac:dyDescent="0.35">
      <c r="A4" t="s">
        <v>47</v>
      </c>
      <c r="B4" s="6">
        <f>ROUND(AVERAGE(ott_content[duration_minutes]),0)</f>
        <v>52</v>
      </c>
    </row>
    <row r="5" spans="1:2" x14ac:dyDescent="0.35">
      <c r="A5"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CA39F-CD0D-4569-B99A-B1222F5D01E1}">
  <dimension ref="A1:G21"/>
  <sheetViews>
    <sheetView workbookViewId="0">
      <selection sqref="A1:G21"/>
    </sheetView>
  </sheetViews>
  <sheetFormatPr defaultRowHeight="14.4" x14ac:dyDescent="0.3"/>
  <cols>
    <col min="1" max="1" width="13.44140625" bestFit="1" customWidth="1"/>
    <col min="2" max="3" width="8" bestFit="1" customWidth="1"/>
    <col min="4" max="4" width="10.88671875" bestFit="1" customWidth="1"/>
    <col min="5" max="5" width="13.77734375" bestFit="1" customWidth="1"/>
    <col min="6" max="6" width="8.109375" bestFit="1" customWidth="1"/>
    <col min="7" max="7" width="18.33203125" bestFit="1"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v>2016</v>
      </c>
      <c r="F2">
        <v>8.6999999999999993</v>
      </c>
      <c r="G2">
        <v>50</v>
      </c>
    </row>
    <row r="3" spans="1:7" x14ac:dyDescent="0.3">
      <c r="A3" s="1" t="s">
        <v>11</v>
      </c>
      <c r="B3" s="1" t="s">
        <v>8</v>
      </c>
      <c r="C3" s="1" t="s">
        <v>12</v>
      </c>
      <c r="D3" s="1" t="s">
        <v>13</v>
      </c>
      <c r="E3">
        <v>2017</v>
      </c>
      <c r="F3">
        <v>8.1999999999999993</v>
      </c>
      <c r="G3">
        <v>45</v>
      </c>
    </row>
    <row r="4" spans="1:7" x14ac:dyDescent="0.3">
      <c r="A4" s="1" t="s">
        <v>14</v>
      </c>
      <c r="B4" s="1" t="s">
        <v>8</v>
      </c>
      <c r="C4" s="1" t="s">
        <v>12</v>
      </c>
      <c r="D4" s="1" t="s">
        <v>10</v>
      </c>
      <c r="E4">
        <v>2008</v>
      </c>
      <c r="F4">
        <v>9.5</v>
      </c>
      <c r="G4">
        <v>47</v>
      </c>
    </row>
    <row r="5" spans="1:7" x14ac:dyDescent="0.3">
      <c r="A5" s="1" t="s">
        <v>15</v>
      </c>
      <c r="B5" s="1" t="s">
        <v>8</v>
      </c>
      <c r="C5" s="1" t="s">
        <v>16</v>
      </c>
      <c r="D5" s="1" t="s">
        <v>17</v>
      </c>
      <c r="E5">
        <v>2016</v>
      </c>
      <c r="F5">
        <v>8.6</v>
      </c>
      <c r="G5">
        <v>55</v>
      </c>
    </row>
    <row r="6" spans="1:7" x14ac:dyDescent="0.3">
      <c r="A6" s="1" t="s">
        <v>18</v>
      </c>
      <c r="B6" s="1" t="s">
        <v>8</v>
      </c>
      <c r="C6" s="1" t="s">
        <v>9</v>
      </c>
      <c r="D6" s="1" t="s">
        <v>19</v>
      </c>
      <c r="E6">
        <v>2017</v>
      </c>
      <c r="F6">
        <v>8.8000000000000007</v>
      </c>
      <c r="G6">
        <v>53</v>
      </c>
    </row>
    <row r="7" spans="1:7" x14ac:dyDescent="0.3">
      <c r="A7" s="1" t="s">
        <v>20</v>
      </c>
      <c r="B7" s="1" t="s">
        <v>8</v>
      </c>
      <c r="C7" s="1" t="s">
        <v>12</v>
      </c>
      <c r="D7" s="1" t="s">
        <v>10</v>
      </c>
      <c r="E7">
        <v>2015</v>
      </c>
      <c r="F7">
        <v>8.8000000000000007</v>
      </c>
      <c r="G7">
        <v>49</v>
      </c>
    </row>
    <row r="8" spans="1:7" x14ac:dyDescent="0.3">
      <c r="A8" s="1" t="s">
        <v>21</v>
      </c>
      <c r="B8" s="1" t="s">
        <v>8</v>
      </c>
      <c r="C8" s="1" t="s">
        <v>22</v>
      </c>
      <c r="D8" s="1" t="s">
        <v>23</v>
      </c>
      <c r="E8">
        <v>2018</v>
      </c>
      <c r="F8">
        <v>8.6</v>
      </c>
      <c r="G8">
        <v>52</v>
      </c>
    </row>
    <row r="9" spans="1:7" x14ac:dyDescent="0.3">
      <c r="A9" s="1" t="s">
        <v>24</v>
      </c>
      <c r="B9" s="1" t="s">
        <v>8</v>
      </c>
      <c r="C9" s="1" t="s">
        <v>25</v>
      </c>
      <c r="D9" s="1" t="s">
        <v>10</v>
      </c>
      <c r="E9">
        <v>2019</v>
      </c>
      <c r="F9">
        <v>8.1999999999999993</v>
      </c>
      <c r="G9">
        <v>58</v>
      </c>
    </row>
    <row r="10" spans="1:7" x14ac:dyDescent="0.3">
      <c r="A10" s="1" t="s">
        <v>26</v>
      </c>
      <c r="B10" s="1" t="s">
        <v>8</v>
      </c>
      <c r="C10" s="1" t="s">
        <v>9</v>
      </c>
      <c r="D10" s="1" t="s">
        <v>17</v>
      </c>
      <c r="E10">
        <v>2011</v>
      </c>
      <c r="F10">
        <v>8.6999999999999993</v>
      </c>
      <c r="G10">
        <v>60</v>
      </c>
    </row>
    <row r="11" spans="1:7" x14ac:dyDescent="0.3">
      <c r="A11" s="1" t="s">
        <v>27</v>
      </c>
      <c r="B11" s="1" t="s">
        <v>8</v>
      </c>
      <c r="C11" s="1" t="s">
        <v>12</v>
      </c>
      <c r="D11" s="1" t="s">
        <v>10</v>
      </c>
      <c r="E11">
        <v>2017</v>
      </c>
      <c r="F11">
        <v>8.5</v>
      </c>
      <c r="G11">
        <v>54</v>
      </c>
    </row>
    <row r="12" spans="1:7" x14ac:dyDescent="0.3">
      <c r="A12" s="1" t="s">
        <v>28</v>
      </c>
      <c r="B12" s="1" t="s">
        <v>8</v>
      </c>
      <c r="C12" s="1" t="s">
        <v>12</v>
      </c>
      <c r="D12" s="1" t="s">
        <v>29</v>
      </c>
      <c r="E12">
        <v>2021</v>
      </c>
      <c r="F12">
        <v>7.6</v>
      </c>
      <c r="G12">
        <v>48</v>
      </c>
    </row>
    <row r="13" spans="1:7" x14ac:dyDescent="0.3">
      <c r="A13" s="1" t="s">
        <v>30</v>
      </c>
      <c r="B13" s="1" t="s">
        <v>8</v>
      </c>
      <c r="C13" s="1" t="s">
        <v>12</v>
      </c>
      <c r="D13" s="1" t="s">
        <v>23</v>
      </c>
      <c r="E13">
        <v>2019</v>
      </c>
      <c r="F13">
        <v>8.5</v>
      </c>
      <c r="G13">
        <v>50</v>
      </c>
    </row>
    <row r="14" spans="1:7" x14ac:dyDescent="0.3">
      <c r="A14" s="1" t="s">
        <v>31</v>
      </c>
      <c r="B14" s="1" t="s">
        <v>8</v>
      </c>
      <c r="C14" s="1" t="s">
        <v>32</v>
      </c>
      <c r="D14" s="1" t="s">
        <v>10</v>
      </c>
      <c r="E14">
        <v>2019</v>
      </c>
      <c r="F14">
        <v>8.6999999999999993</v>
      </c>
      <c r="G14">
        <v>60</v>
      </c>
    </row>
    <row r="15" spans="1:7" x14ac:dyDescent="0.3">
      <c r="A15" s="1" t="s">
        <v>33</v>
      </c>
      <c r="B15" s="1" t="s">
        <v>8</v>
      </c>
      <c r="C15" s="1" t="s">
        <v>12</v>
      </c>
      <c r="D15" s="1" t="s">
        <v>23</v>
      </c>
      <c r="E15">
        <v>2018</v>
      </c>
      <c r="F15">
        <v>8.4</v>
      </c>
      <c r="G15">
        <v>55</v>
      </c>
    </row>
    <row r="16" spans="1:7" x14ac:dyDescent="0.3">
      <c r="A16" s="1" t="s">
        <v>34</v>
      </c>
      <c r="B16" s="1" t="s">
        <v>8</v>
      </c>
      <c r="C16" s="1" t="s">
        <v>16</v>
      </c>
      <c r="D16" s="1" t="s">
        <v>17</v>
      </c>
      <c r="E16">
        <v>2013</v>
      </c>
      <c r="F16">
        <v>8.8000000000000007</v>
      </c>
      <c r="G16">
        <v>57</v>
      </c>
    </row>
    <row r="17" spans="1:7" x14ac:dyDescent="0.3">
      <c r="A17" s="1" t="s">
        <v>35</v>
      </c>
      <c r="B17" s="1" t="s">
        <v>8</v>
      </c>
      <c r="C17" s="1" t="s">
        <v>22</v>
      </c>
      <c r="D17" s="1" t="s">
        <v>36</v>
      </c>
      <c r="E17">
        <v>2021</v>
      </c>
      <c r="F17">
        <v>8</v>
      </c>
      <c r="G17">
        <v>50</v>
      </c>
    </row>
    <row r="18" spans="1:7" x14ac:dyDescent="0.3">
      <c r="A18" s="1" t="s">
        <v>37</v>
      </c>
      <c r="B18" s="1" t="s">
        <v>8</v>
      </c>
      <c r="C18" s="1" t="s">
        <v>16</v>
      </c>
      <c r="D18" s="1" t="s">
        <v>10</v>
      </c>
      <c r="E18">
        <v>2013</v>
      </c>
      <c r="F18">
        <v>8.6999999999999993</v>
      </c>
      <c r="G18">
        <v>55</v>
      </c>
    </row>
    <row r="19" spans="1:7" x14ac:dyDescent="0.3">
      <c r="A19" s="1" t="s">
        <v>38</v>
      </c>
      <c r="B19" s="1" t="s">
        <v>8</v>
      </c>
      <c r="C19" s="1" t="s">
        <v>39</v>
      </c>
      <c r="D19" s="1" t="s">
        <v>17</v>
      </c>
      <c r="E19">
        <v>2019</v>
      </c>
      <c r="F19">
        <v>8.3000000000000007</v>
      </c>
      <c r="G19">
        <v>45</v>
      </c>
    </row>
    <row r="20" spans="1:7" x14ac:dyDescent="0.3">
      <c r="A20" s="1" t="s">
        <v>40</v>
      </c>
      <c r="B20" s="1" t="s">
        <v>8</v>
      </c>
      <c r="C20" s="1" t="s">
        <v>41</v>
      </c>
      <c r="D20" s="1" t="s">
        <v>10</v>
      </c>
      <c r="E20">
        <v>2022</v>
      </c>
      <c r="F20">
        <v>8.1</v>
      </c>
      <c r="G20">
        <v>50</v>
      </c>
    </row>
    <row r="21" spans="1:7" x14ac:dyDescent="0.3">
      <c r="A21" s="1" t="s">
        <v>42</v>
      </c>
      <c r="B21" s="1" t="s">
        <v>8</v>
      </c>
      <c r="C21" s="1" t="s">
        <v>32</v>
      </c>
      <c r="D21" s="1" t="s">
        <v>43</v>
      </c>
      <c r="E21">
        <v>2013</v>
      </c>
      <c r="F21">
        <v>8.5</v>
      </c>
      <c r="G21">
        <v>56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4E2C1-5247-410D-B478-4BCAFDE45ADA}">
  <dimension ref="A1:B5"/>
  <sheetViews>
    <sheetView workbookViewId="0">
      <selection activeCell="C10" sqref="A1:XFD1048576"/>
    </sheetView>
  </sheetViews>
  <sheetFormatPr defaultRowHeight="18" x14ac:dyDescent="0.35"/>
  <cols>
    <col min="1" max="1" width="19.21875" customWidth="1"/>
    <col min="2" max="2" width="8.88671875" style="3"/>
  </cols>
  <sheetData>
    <row r="1" spans="1:2" x14ac:dyDescent="0.35">
      <c r="A1" t="s">
        <v>44</v>
      </c>
      <c r="B1" s="3">
        <f>COUNTA(ott_content[title])</f>
        <v>20</v>
      </c>
    </row>
    <row r="2" spans="1:2" x14ac:dyDescent="0.35">
      <c r="A2" t="s">
        <v>45</v>
      </c>
      <c r="B2" s="3">
        <f>ROUND(AVERAGE(ott_content[rating]),2)</f>
        <v>8.51</v>
      </c>
    </row>
    <row r="3" spans="1:2" x14ac:dyDescent="0.35">
      <c r="A3" t="s">
        <v>46</v>
      </c>
      <c r="B3" s="3">
        <f>MAX(ott_content[rating])</f>
        <v>9.5</v>
      </c>
    </row>
    <row r="4" spans="1:2" ht="18.600000000000001" customHeight="1" x14ac:dyDescent="0.35">
      <c r="A4" t="s">
        <v>47</v>
      </c>
      <c r="B4" s="3">
        <f>ROUND(AVERAGE(ott_content[duration_minutes]),0)</f>
        <v>52</v>
      </c>
    </row>
    <row r="5" spans="1:2" x14ac:dyDescent="0.35">
      <c r="A5"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8E6B76-FB0F-4580-B238-0108E20B5F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Genre_Analysis</vt:lpstr>
      <vt:lpstr>Country_Insights</vt:lpstr>
      <vt:lpstr>Year_Trends</vt:lpstr>
      <vt:lpstr>Dashboard</vt:lpstr>
      <vt:lpstr>ott_content_dataset</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sappa</dc:creator>
  <cp:lastModifiedBy>praveen sappa</cp:lastModifiedBy>
  <dcterms:created xsi:type="dcterms:W3CDTF">2026-01-28T02:11:24Z</dcterms:created>
  <dcterms:modified xsi:type="dcterms:W3CDTF">2026-01-28T04:48:30Z</dcterms:modified>
</cp:coreProperties>
</file>